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58f77369f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model" sheetId="1" r:id="R4d816acd936b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2">
    <x:font>
      <x:sz val="11"/>
      <x:name val="Carlito"/>
    </x:font>
    <x:font>
      <x:sz val="10"/>
      <x:color rgb="FF18202A"/>
      <x:name val="Arial"/>
    </x:font>
    <x:font>
      <x:b/>
      <x:sz val="16"/>
      <x:color rgb="FF18202A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8202A"/>
      <x:name val="Arial"/>
    </x:font>
    <x:font>
      <x:b/>
      <x:sz val="11"/>
      <x:color rgb="FF2457D6"/>
      <x:name val="Arial"/>
    </x:font>
    <x:font>
      <x:sz val="10"/>
      <x:color rgb="FF2457D6"/>
      <x:name val="Arial"/>
    </x:font>
    <x:font>
      <x:sz val="10"/>
      <x:color rgb="FF64748B"/>
      <x:name val="Arial"/>
    </x:font>
    <x:font>
      <x:sz val="10"/>
      <x:color rgb="FF9A6700"/>
      <x:name val="Arial"/>
    </x:font>
    <x:font>
      <x:b/>
      <x:sz val="10"/>
      <x:color rgb="FF64748B"/>
      <x:name val="Arial"/>
    </x:font>
    <x:font>
      <x:b/>
      <x:sz val="10"/>
      <x:color rgb="FF7A4B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6F2EA"/>
      </x:patternFill>
    </x:fill>
    <x:fill>
      <x:patternFill patternType="solid">
        <x:fgColor rgb="FF18202A"/>
      </x:patternFill>
    </x:fill>
    <x:fill>
      <x:patternFill patternType="solid">
        <x:fgColor rgb="FFFFF1C7"/>
      </x:patternFill>
    </x:fill>
    <x:fill>
      <x:patternFill patternType="solid">
        <x:fgColor rgb="FFFFF7E6"/>
      </x:patternFill>
    </x:fill>
  </x:fills>
  <x:borders count="20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E0E8"/>
      </x:left>
      <x:top style="thin">
        <x:color rgb="FFD9E0E8"/>
      </x:top>
    </x:border>
    <x:border>
      <x:right style="thin">
        <x:color rgb="FFD9E0E8"/>
      </x:right>
      <x:top style="thin">
        <x:color rgb="FFD9E0E8"/>
      </x:top>
    </x:border>
    <x:border>
      <x:left style="thin">
        <x:color rgb="FFD9E0E8"/>
      </x:left>
    </x:border>
    <x:border>
      <x:right style="thin">
        <x:color rgb="FFD9E0E8"/>
      </x:right>
    </x:border>
    <x:border>
      <x:left style="thin">
        <x:color rgb="FFD9E0E8"/>
      </x:left>
      <x:bottom style="thin">
        <x:color rgb="FFD9E0E8"/>
      </x:bottom>
    </x:border>
    <x:border>
      <x:right style="thin">
        <x:color rgb="FFD9E0E8"/>
      </x:right>
      <x:bottom style="thin">
        <x:color rgb="FFD9E0E8"/>
      </x:bottom>
    </x:border>
    <x:border>
      <x:left style="thin">
        <x:color rgb="FFD7B95E"/>
      </x:left>
      <x:right style="thin">
        <x:color rgb="FFD7B95E"/>
      </x:right>
      <x:top style="thin">
        <x:color rgb="FFD7B95E"/>
      </x:top>
    </x:border>
    <x:border>
      <x:left style="thin">
        <x:color rgb="FFD7B95E"/>
      </x:left>
      <x:right style="thin">
        <x:color rgb="FFD7B95E"/>
      </x:right>
    </x:border>
    <x:border>
      <x:left style="thin">
        <x:color rgb="FFD7B95E"/>
      </x:left>
      <x:right style="thin">
        <x:color rgb="FFD7B95E"/>
      </x:right>
      <x:bottom style="thin">
        <x:color rgb="FFD7B95E"/>
      </x:bottom>
    </x:border>
    <x:border>
      <x:bottom style="thin">
        <x:color rgb="FFD9E0E8"/>
      </x:bottom>
    </x:border>
    <x:border>
      <x:left style="thin">
        <x:color rgb="FFD7B95E"/>
      </x:left>
      <x:right style="thin">
        <x:color rgb="FFD7B95E"/>
      </x:right>
      <x:bottom style="thin">
        <x:color rgb="FFD9E0E8"/>
      </x:bottom>
    </x:border>
    <x:border>
      <x:top style="thin">
        <x:color rgb="FFD9E0E8"/>
      </x:top>
      <x:bottom style="thin">
        <x:color rgb="FFD9E0E8"/>
      </x:bottom>
    </x:border>
    <x:border>
      <x:left style="thin">
        <x:color rgb="FFD7B95E"/>
      </x:left>
      <x:right style="thin">
        <x:color rgb="FFD7B95E"/>
      </x:right>
      <x:top style="thin">
        <x:color rgb="FFD9E0E8"/>
      </x:top>
      <x:bottom style="thin">
        <x:color rgb="FFD9E0E8"/>
      </x:bottom>
    </x:border>
    <x:border>
      <x:left style="thin">
        <x:color rgb="FFE3B04B"/>
      </x:left>
      <x:top style="thin">
        <x:color rgb="FFE3B04B"/>
      </x:top>
      <x:bottom style="thin">
        <x:color rgb="FFE3B04B"/>
      </x:bottom>
    </x:border>
    <x:border>
      <x:top style="thin">
        <x:color rgb="FFE3B04B"/>
      </x:top>
      <x:bottom style="thin">
        <x:color rgb="FFE3B04B"/>
      </x:bottom>
    </x:border>
    <x:border>
      <x:right style="thin">
        <x:color rgb="FFE3B04B"/>
      </x:right>
      <x:top style="thin">
        <x:color rgb="FFE3B04B"/>
      </x:top>
      <x:bottom style="thin">
        <x:color rgb="FFE3B04B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0" fontId="4" fillId="3" borderId="1" xfId="0" applyNumberFormat="1" applyFont="1" applyFill="1" applyBorder="1" applyAlignment="1">
      <x:alignment vertical="center" wrapText="0"/>
    </x:xf>
    <x:xf numFmtId="0" fontId="4" fillId="3" borderId="2" xfId="0" applyNumberFormat="1" applyFont="1" applyFill="1" applyBorder="1" applyAlignment="1">
      <x:alignment vertical="center" wrapText="0"/>
    </x:xf>
    <x:xf numFmtId="0" fontId="4" fillId="3" borderId="3" xfId="0" applyNumberFormat="1" applyFont="1" applyFill="1" applyBorder="1" applyAlignment="1">
      <x:alignment vertical="center" wrapText="0"/>
    </x:xf>
    <x:xf numFmtId="0" fontId="4" fillId="3" borderId="1" xfId="0" applyNumberFormat="1" applyFont="1" applyFill="1" applyBorder="1" applyAlignment="1">
      <x:alignment horizontal="center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0" fontId="4" fillId="3" borderId="3" xfId="0" applyNumberFormat="1" applyFont="1" applyFill="1" applyBorder="1" applyAlignment="1">
      <x:alignment horizontal="center"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0" fontId="1" fillId="0" borderId="8" xfId="0" applyNumberFormat="1" applyFont="1" applyFill="1" applyBorder="1" applyAlignment="1">
      <x:alignment vertical="center" wrapText="0"/>
    </x:xf>
    <x:xf numFmtId="0" fontId="1" fillId="0" borderId="9" xfId="0" applyNumberFormat="1" applyFont="1" applyFill="1" applyBorder="1" applyAlignment="1">
      <x:alignment vertical="center" wrapText="0"/>
    </x:xf>
    <x:xf numFmtId="0" fontId="5" fillId="0" borderId="4" xfId="0" applyNumberFormat="1" applyFont="1" applyFill="1" applyBorder="1" applyAlignment="1">
      <x:alignment vertical="center" wrapText="0"/>
    </x:xf>
    <x:xf numFmtId="0" fontId="5" fillId="0" borderId="6" xfId="0" applyNumberFormat="1" applyFont="1" applyFill="1" applyBorder="1" applyAlignment="1">
      <x:alignment vertical="center" wrapText="0"/>
    </x:xf>
    <x:xf numFmtId="0" fontId="5" fillId="0" borderId="8" xfId="0" applyNumberFormat="1" applyFont="1" applyFill="1" applyBorder="1" applyAlignment="1">
      <x:alignment vertical="center" wrapText="0"/>
    </x:xf>
    <x:xf numFmtId="0" fontId="6" fillId="0" borderId="5" xfId="0" applyNumberFormat="1" applyFont="1" applyFill="1" applyBorder="1" applyAlignment="1">
      <x:alignment vertical="center" wrapText="0"/>
    </x:xf>
    <x:xf numFmtId="0" fontId="6" fillId="0" borderId="7" xfId="0" applyNumberFormat="1" applyFont="1" applyFill="1" applyBorder="1" applyAlignment="1">
      <x:alignment vertical="center" wrapText="0"/>
    </x:xf>
    <x:xf numFmtId="0" fontId="6" fillId="0" borderId="9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7" fillId="4" borderId="0" xfId="0" applyNumberFormat="1" applyFont="1" applyFill="1" applyBorder="1" applyAlignment="1">
      <x:alignment vertical="center" wrapText="0"/>
    </x:xf>
    <x:xf numFmtId="0" fontId="7" fillId="4" borderId="10" xfId="0" applyNumberFormat="1" applyFont="1" applyFill="1" applyBorder="1" applyAlignment="1">
      <x:alignment vertical="center" wrapText="0"/>
    </x:xf>
    <x:xf numFmtId="0" fontId="7" fillId="4" borderId="11" xfId="0" applyNumberFormat="1" applyFont="1" applyFill="1" applyBorder="1" applyAlignment="1">
      <x:alignment vertical="center" wrapText="0"/>
    </x:xf>
    <x:xf numFmtId="0" fontId="7" fillId="4" borderId="12" xfId="0" applyNumberFormat="1" applyFont="1" applyFill="1" applyBorder="1" applyAlignment="1">
      <x:alignment vertical="center" wrapText="0"/>
    </x:xf>
    <x:xf numFmtId="200" fontId="7" fillId="4" borderId="10" xfId="0" applyNumberFormat="1" applyFont="1" applyFill="1" applyBorder="1" applyAlignment="1">
      <x:alignment vertical="center" wrapText="0"/>
    </x:xf>
    <x:xf numFmtId="200" fontId="7" fillId="4" borderId="11" xfId="0" applyNumberFormat="1" applyFont="1" applyFill="1" applyBorder="1" applyAlignment="1">
      <x:alignment vertical="center" wrapText="0"/>
    </x:xf>
    <x:xf numFmtId="200" fontId="7" fillId="4" borderId="12" xfId="0" applyNumberFormat="1" applyFont="1" applyFill="1" applyBorder="1" applyAlignment="1">
      <x:alignment vertical="center" wrapText="0"/>
    </x:xf>
    <x:xf numFmtId="201" fontId="7" fillId="4" borderId="10" xfId="0" applyNumberFormat="1" applyFont="1" applyFill="1" applyBorder="1" applyAlignment="1">
      <x:alignment vertical="center" wrapText="0"/>
    </x:xf>
    <x:xf numFmtId="201" fontId="7" fillId="4" borderId="11" xfId="0" applyNumberFormat="1" applyFont="1" applyFill="1" applyBorder="1" applyAlignment="1">
      <x:alignment vertical="center" wrapText="0"/>
    </x:xf>
    <x:xf numFmtId="201" fontId="7" fillId="4" borderId="12" xfId="0" applyNumberFormat="1" applyFont="1" applyFill="1" applyBorder="1" applyAlignment="1">
      <x:alignment vertical="center" wrapText="0"/>
    </x:xf>
    <x:xf numFmtId="200" fontId="6" fillId="0" borderId="7" xfId="0" applyNumberFormat="1" applyFont="1" applyFill="1" applyBorder="1" applyAlignment="1">
      <x:alignment vertical="center" wrapText="0"/>
    </x:xf>
    <x:xf numFmtId="201" fontId="6" fillId="0" borderId="9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1" fillId="0" borderId="13" xfId="0" applyNumberFormat="1" applyFont="1" applyFill="1" applyBorder="1" applyAlignment="1">
      <x:alignment vertical="center" wrapText="0"/>
    </x:xf>
    <x:xf numFmtId="0" fontId="7" fillId="4" borderId="14" xfId="0" applyNumberFormat="1" applyFont="1" applyFill="1" applyBorder="1" applyAlignment="1">
      <x:alignment vertical="center" wrapText="0"/>
    </x:xf>
    <x:xf numFmtId="0" fontId="1" fillId="0" borderId="15" xfId="0" applyNumberFormat="1" applyFont="1" applyFill="1" applyBorder="1" applyAlignment="1">
      <x:alignment vertical="center" wrapText="0"/>
    </x:xf>
    <x:xf numFmtId="0" fontId="7" fillId="4" borderId="16" xfId="0" applyNumberFormat="1" applyFont="1" applyFill="1" applyBorder="1" applyAlignment="1">
      <x:alignment vertical="center" wrapText="0"/>
    </x:xf>
    <x:xf numFmtId="200" fontId="7" fillId="4" borderId="14" xfId="0" applyNumberFormat="1" applyFont="1" applyFill="1" applyBorder="1" applyAlignment="1">
      <x:alignment vertical="center" wrapText="0"/>
    </x:xf>
    <x:xf numFmtId="200" fontId="7" fillId="4" borderId="16" xfId="0" applyNumberFormat="1" applyFont="1" applyFill="1" applyBorder="1" applyAlignment="1">
      <x:alignment vertical="center" wrapText="0"/>
    </x:xf>
    <x:xf numFmtId="201" fontId="7" fillId="4" borderId="14" xfId="0" applyNumberFormat="1" applyFont="1" applyFill="1" applyBorder="1" applyAlignment="1">
      <x:alignment vertical="center" wrapText="0"/>
    </x:xf>
    <x:xf numFmtId="201" fontId="7" fillId="4" borderId="16" xfId="0" applyNumberFormat="1" applyFont="1" applyFill="1" applyBorder="1" applyAlignment="1">
      <x:alignment vertical="center" wrapText="0"/>
    </x:xf>
    <x:xf numFmtId="200" fontId="1" fillId="0" borderId="13" xfId="0" applyNumberFormat="1" applyFont="1" applyFill="1" applyBorder="1" applyAlignment="1">
      <x:alignment vertical="center" wrapText="0"/>
    </x:xf>
    <x:xf numFmtId="200" fontId="1" fillId="0" borderId="15" xfId="0" applyNumberFormat="1" applyFont="1" applyFill="1" applyBorder="1" applyAlignment="1">
      <x:alignment vertical="center" wrapText="0"/>
    </x:xf>
    <x:xf numFmtId="0" fontId="8" fillId="0" borderId="13" xfId="0" applyNumberFormat="1" applyFont="1" applyFill="1" applyBorder="1" applyAlignment="1">
      <x:alignment vertical="center" wrapText="0"/>
    </x:xf>
    <x:xf numFmtId="0" fontId="8" fillId="0" borderId="15" xfId="0" applyNumberFormat="1" applyFont="1" applyFill="1" applyBorder="1" applyAlignment="1">
      <x:alignment vertical="center" wrapText="0"/>
    </x:xf>
    <x:xf numFmtId="0" fontId="9" fillId="0" borderId="13" xfId="0" applyNumberFormat="1" applyFont="1" applyFill="1" applyBorder="1" applyAlignment="1">
      <x:alignment vertical="center" wrapText="0"/>
    </x:xf>
    <x:xf numFmtId="0" fontId="9" fillId="0" borderId="15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0" fontId="10" fillId="3" borderId="3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0" fontId="11" fillId="5" borderId="0" xfId="0" applyNumberFormat="1" applyFont="1" applyFill="1" applyBorder="1" applyAlignment="1">
      <x:alignment vertical="center" wrapText="0"/>
    </x:xf>
    <x:xf numFmtId="0" fontId="11" fillId="5" borderId="17" xfId="0" applyNumberFormat="1" applyFont="1" applyFill="1" applyBorder="1" applyAlignment="1">
      <x:alignment vertical="center" wrapText="0"/>
    </x:xf>
    <x:xf numFmtId="0" fontId="11" fillId="5" borderId="18" xfId="0" applyNumberFormat="1" applyFont="1" applyFill="1" applyBorder="1" applyAlignment="1">
      <x:alignment vertical="center" wrapText="0"/>
    </x:xf>
    <x:xf numFmtId="0" fontId="11" fillId="5" borderId="19" xfId="0" applyNumberFormat="1" applyFont="1" applyFill="1" applyBorder="1" applyAlignment="1">
      <x:alignment vertical="center" wrapText="0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1" fillId="5" borderId="19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76B3A"/>
      </x:font>
      <x:fill>
        <x:patternFill patternType="solid">
          <x:bgColor rgb="FFE7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3e7db5c294615" /><Relationship Type="http://schemas.openxmlformats.org/officeDocument/2006/relationships/theme" Target="/xl/theme/theme1.xml" Id="R7c0836e2872745ca" /><Relationship Type="http://schemas.openxmlformats.org/officeDocument/2006/relationships/sharedStrings" Target="/xl/sharedStrings.xml" Id="R9c2e71f0b3974123" /><Relationship Type="http://schemas.openxmlformats.org/officeDocument/2006/relationships/worksheet" Target="/xl/worksheets/sheet1.xml" Id="R4d816acd936b4e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12" hidden="0" customWidth="1"/>
    <x:col min="4" max="4" width="18" hidden="0" customWidth="1"/>
    <x:col min="5" max="5" width="55" hidden="0" customWidth="1"/>
  </x:cols>
  <x:sheetData>
    <x:row r="1" ht="24" customHeight="1">
      <x:c r="A1" s="6" t="str">
        <x:v>FacadeOps inspection pricing model</x:v>
      </x:c>
      <x:c r="B1" s="6"/>
      <x:c r="C1" s="6"/>
      <x:c r="D1" s="6"/>
      <x:c r="E1" s="6"/>
    </x:row>
    <x:row r="2" ht="24" customHeight="1">
      <x:c r="A2" s="7" t="str">
        <x:v>Validation-stage calculator. Enter attributable supplier quotes and verified internal costs; the workbook does not contain market prices.</x:v>
      </x:c>
      <x:c r="B2" s="7"/>
      <x:c r="C2" s="7"/>
      <x:c r="D2" s="7"/>
      <x:c r="E2" s="7"/>
    </x:row>
    <x:row r="3">
      <x:c r="A3" s="3"/>
      <x:c r="B3" s="3"/>
      <x:c r="C3" s="3"/>
      <x:c r="D3" s="3"/>
      <x:c r="E3" s="3"/>
    </x:row>
    <x:row r="4">
      <x:c r="A4" s="22" t="str">
        <x:v>Quote status</x:v>
      </x:c>
      <x:c r="B4" s="25" t="str">
        <x:f>IF(COUNTBLANK(B17:B22)&gt;0,"Missing required cost inputs",IF(OR(B25&lt;=0,B25&gt;=1),"Invalid target margin","Ready for internal scenario"))</x:f>
        <x:v>Missing required cost inputs</x:v>
      </x:c>
      <x:c r="C4" s="3"/>
      <x:c r="D4" s="3"/>
      <x:c r="E4" s="3"/>
    </x:row>
    <x:row r="5">
      <x:c r="A5" s="23" t="str">
        <x:v>Cost before margin (Kz)</x:v>
      </x:c>
      <x:c r="B5" s="39" t="str">
        <x:f>IF(COUNTBLANK(B17:B22)&gt;0,"n.a.",B30)</x:f>
        <x:v>n.a.</x:v>
      </x:c>
      <x:c r="C5" s="3"/>
      <x:c r="D5" s="3"/>
      <x:c r="E5" s="3"/>
    </x:row>
    <x:row r="6">
      <x:c r="A6" s="23" t="str">
        <x:v>Quote before tax (Kz)</x:v>
      </x:c>
      <x:c r="B6" s="39" t="str">
        <x:f>IF(COUNTBLANK(B17:B22)&gt;0,"n.a.",B31)</x:f>
        <x:v>n.a.</x:v>
      </x:c>
      <x:c r="C6" s="3"/>
      <x:c r="D6" s="3"/>
      <x:c r="E6" s="3"/>
    </x:row>
    <x:row r="7">
      <x:c r="A7" s="23" t="str">
        <x:v>Customer quote (Kz)</x:v>
      </x:c>
      <x:c r="B7" s="39" t="str">
        <x:f>IF(COUNTBLANK(B17:B22)&gt;0,"n.a.",B33)</x:f>
        <x:v>n.a.</x:v>
      </x:c>
      <x:c r="C7" s="3"/>
      <x:c r="D7" s="3"/>
      <x:c r="E7" s="3"/>
    </x:row>
    <x:row r="8">
      <x:c r="A8" s="24" t="str">
        <x:v>Gross margin</x:v>
      </x:c>
      <x:c r="B8" s="40" t="str">
        <x:f>IF(COUNTBLANK(B17:B22)&gt;0,"n.a.",B34/B31)</x:f>
        <x:v>n.a.</x:v>
      </x:c>
      <x:c r="C8" s="3"/>
      <x:c r="D8" s="3"/>
      <x:c r="E8" s="3"/>
    </x:row>
    <x:row r="9">
      <x:c r="A9" s="3"/>
      <x:c r="B9" s="3"/>
      <x:c r="C9" s="3"/>
      <x:c r="D9" s="3"/>
      <x:c r="E9" s="3"/>
    </x:row>
    <x:row r="10">
      <x:c r="A10" s="13" t="str">
        <x:v>Planning inputs</x:v>
      </x:c>
      <x:c r="B10" s="14" t="str">
        <x:v>Active input</x:v>
      </x:c>
      <x:c r="C10" s="14" t="str">
        <x:v>Unit</x:v>
      </x:c>
      <x:c r="D10" s="14" t="str">
        <x:v>Evidence status</x:v>
      </x:c>
      <x:c r="E10" s="15" t="str">
        <x:v>Input guidance</x:v>
      </x:c>
    </x:row>
    <x:row r="11">
      <x:c r="A11" s="42" t="str">
        <x:v>Building/elevation scope</x:v>
      </x:c>
      <x:c r="B11" s="43"/>
      <x:c r="C11" s="42" t="str">
        <x:v>text</x:v>
      </x:c>
      <x:c r="D11" s="52" t="str">
        <x:v>Unverified</x:v>
      </x:c>
      <x:c r="E11" s="66" t="str">
        <x:v>Brief description used to obtain comparable quotes</x:v>
      </x:c>
    </x:row>
    <x:row r="12">
      <x:c r="A12" s="44" t="str">
        <x:v>Inspection cycle</x:v>
      </x:c>
      <x:c r="B12" s="45"/>
      <x:c r="C12" s="44" t="str">
        <x:v>text</x:v>
      </x:c>
      <x:c r="D12" s="53" t="str">
        <x:v>Unverified</x:v>
      </x:c>
      <x:c r="E12" s="67" t="str">
        <x:v>One-off validation, annual, or other proposed frequency</x:v>
      </x:c>
    </x:row>
    <x:row r="13">
      <x:c r="A13" s="44" t="str">
        <x:v>Size / complexity multiplier</x:v>
      </x:c>
      <x:c r="B13" s="45" t="n">
        <x:v>1</x:v>
      </x:c>
      <x:c r="C13" s="44" t="str">
        <x:v>x</x:v>
      </x:c>
      <x:c r="D13" s="53" t="str">
        <x:v>Illustrative</x:v>
      </x:c>
      <x:c r="E13" s="67" t="str">
        <x:v>Use 1.0 until supplier quotes establish a supported adjustment</x:v>
      </x:c>
    </x:row>
    <x:row r="14">
      <x:c r="A14" s="44" t="str">
        <x:v>Number of buildings</x:v>
      </x:c>
      <x:c r="B14" s="45" t="n">
        <x:v>1</x:v>
      </x:c>
      <x:c r="C14" s="44" t="str">
        <x:v>count</x:v>
      </x:c>
      <x:c r="D14" s="53" t="str">
        <x:v>Illustrative</x:v>
      </x:c>
      <x:c r="E14" s="67" t="str">
        <x:v>Do not assume portfolio discount without evidence</x:v>
      </x:c>
    </x:row>
    <x:row r="15">
      <x:c r="A15" s="3"/>
      <x:c r="B15" s="3"/>
      <x:c r="C15" s="3"/>
      <x:c r="D15" s="3"/>
      <x:c r="E15" s="68"/>
    </x:row>
    <x:row r="16">
      <x:c r="A16" s="13" t="str">
        <x:v>Required cost input</x:v>
      </x:c>
      <x:c r="B16" s="14" t="str">
        <x:v>Active input</x:v>
      </x:c>
      <x:c r="C16" s="14" t="str">
        <x:v>Unit</x:v>
      </x:c>
      <x:c r="D16" s="14" t="str">
        <x:v>Evidence status</x:v>
      </x:c>
      <x:c r="E16" s="69" t="str">
        <x:v>Source required</x:v>
      </x:c>
    </x:row>
    <x:row r="17">
      <x:c r="A17" s="42" t="str">
        <x:v>Authorized operator / capture</x:v>
      </x:c>
      <x:c r="B17" s="46"/>
      <x:c r="C17" s="42" t="str">
        <x:v>Kz</x:v>
      </x:c>
      <x:c r="D17" s="54" t="str">
        <x:v>Needs quote</x:v>
      </x:c>
      <x:c r="E17" s="66" t="str">
        <x:v>Named operator quote for defined scope</x:v>
      </x:c>
    </x:row>
    <x:row r="18">
      <x:c r="A18" s="44" t="str">
        <x:v>Qualified technical review</x:v>
      </x:c>
      <x:c r="B18" s="47"/>
      <x:c r="C18" s="44" t="str">
        <x:v>Kz</x:v>
      </x:c>
      <x:c r="D18" s="55" t="str">
        <x:v>Needs quote</x:v>
      </x:c>
      <x:c r="E18" s="67" t="str">
        <x:v>Named reviewer quote and stated scope</x:v>
      </x:c>
    </x:row>
    <x:row r="19">
      <x:c r="A19" s="44" t="str">
        <x:v>Site assessment and transport</x:v>
      </x:c>
      <x:c r="B19" s="47"/>
      <x:c r="C19" s="44" t="str">
        <x:v>Kz</x:v>
      </x:c>
      <x:c r="D19" s="55" t="str">
        <x:v>Needs estimate</x:v>
      </x:c>
      <x:c r="E19" s="67" t="str">
        <x:v>Route, time, and site-assessment basis</x:v>
      </x:c>
    </x:row>
    <x:row r="20">
      <x:c r="A20" s="44" t="str">
        <x:v>Site control and field support</x:v>
      </x:c>
      <x:c r="B20" s="47"/>
      <x:c r="C20" s="44" t="str">
        <x:v>Kz</x:v>
      </x:c>
      <x:c r="D20" s="55" t="str">
        <x:v>Needs estimate</x:v>
      </x:c>
      <x:c r="E20" s="67" t="str">
        <x:v>People, hours, barriers, notices, and PPE</x:v>
      </x:c>
    </x:row>
    <x:row r="21">
      <x:c r="A21" s="44" t="str">
        <x:v>Report and digital record preparation</x:v>
      </x:c>
      <x:c r="B21" s="47"/>
      <x:c r="C21" s="44" t="str">
        <x:v>Kz</x:v>
      </x:c>
      <x:c r="D21" s="55" t="str">
        <x:v>Needs time study</x:v>
      </x:c>
      <x:c r="E21" s="67" t="str">
        <x:v>Hours by role and internal rate</x:v>
      </x:c>
    </x:row>
    <x:row r="22">
      <x:c r="A22" s="44" t="str">
        <x:v>Insurance / authorization allocation</x:v>
      </x:c>
      <x:c r="B22" s="47"/>
      <x:c r="C22" s="44" t="str">
        <x:v>Kz</x:v>
      </x:c>
      <x:c r="D22" s="55" t="str">
        <x:v>Needs evidence</x:v>
      </x:c>
      <x:c r="E22" s="67" t="str">
        <x:v>Mission-specific or apportioned supported cost</x:v>
      </x:c>
    </x:row>
    <x:row r="23">
      <x:c r="A23" s="3"/>
      <x:c r="B23" s="3"/>
      <x:c r="C23" s="3"/>
      <x:c r="D23" s="3"/>
      <x:c r="E23" s="68"/>
    </x:row>
    <x:row r="24">
      <x:c r="A24" s="13" t="str">
        <x:v>Commercial assumption</x:v>
      </x:c>
      <x:c r="B24" s="14" t="str">
        <x:v>Active input</x:v>
      </x:c>
      <x:c r="C24" s="14" t="str">
        <x:v>Unit</x:v>
      </x:c>
      <x:c r="D24" s="14" t="str">
        <x:v>Evidence status</x:v>
      </x:c>
      <x:c r="E24" s="69" t="str">
        <x:v>Guidance</x:v>
      </x:c>
    </x:row>
    <x:row r="25">
      <x:c r="A25" s="42" t="str">
        <x:v>Target gross margin</x:v>
      </x:c>
      <x:c r="B25" s="48" t="n">
        <x:v>0.3</x:v>
      </x:c>
      <x:c r="C25" s="42" t="str">
        <x:v>%</x:v>
      </x:c>
      <x:c r="D25" s="52" t="str">
        <x:v>Illustrative</x:v>
      </x:c>
      <x:c r="E25" s="66" t="str">
        <x:v>Internal choice; validate against risk, sales effort, and market response</x:v>
      </x:c>
    </x:row>
    <x:row r="26">
      <x:c r="A26" s="44" t="str">
        <x:v>Contingency on direct cost</x:v>
      </x:c>
      <x:c r="B26" s="49" t="n">
        <x:v>0.1</x:v>
      </x:c>
      <x:c r="C26" s="44" t="str">
        <x:v>%</x:v>
      </x:c>
      <x:c r="D26" s="53" t="str">
        <x:v>Illustrative</x:v>
      </x:c>
      <x:c r="E26" s="67" t="str">
        <x:v>Replace with observed variance after pilots</x:v>
      </x:c>
    </x:row>
    <x:row r="27">
      <x:c r="A27" s="44" t="str">
        <x:v>Applicable tax rate</x:v>
      </x:c>
      <x:c r="B27" s="49" t="n">
        <x:v>0</x:v>
      </x:c>
      <x:c r="C27" s="44" t="str">
        <x:v>%</x:v>
      </x:c>
      <x:c r="D27" s="53" t="str">
        <x:v>Unverified</x:v>
      </x:c>
      <x:c r="E27" s="67" t="str">
        <x:v>Confirm with an Angolan tax professional before quoting</x:v>
      </x:c>
    </x:row>
    <x:row r="28">
      <x:c r="A28" s="3"/>
      <x:c r="B28" s="3"/>
      <x:c r="C28" s="3"/>
      <x:c r="D28" s="3"/>
      <x:c r="E28" s="3"/>
    </x:row>
    <x:row r="29">
      <x:c r="A29" s="13" t="str">
        <x:v>Calculation</x:v>
      </x:c>
      <x:c r="B29" s="14" t="str">
        <x:v>Result</x:v>
      </x:c>
      <x:c r="C29" s="15" t="str">
        <x:v>Explanation</x:v>
      </x:c>
      <x:c r="D29" s="3"/>
      <x:c r="E29" s="3"/>
    </x:row>
    <x:row r="30">
      <x:c r="A30" s="42" t="str">
        <x:v>Cost before margin</x:v>
      </x:c>
      <x:c r="B30" s="50" t="str">
        <x:f>IF(COUNTBLANK(B17:B22)&gt;0,"n.a.",SUM(B17:B22)*B13*B14*(1+B26))</x:f>
        <x:v>n.a.</x:v>
      </x:c>
      <x:c r="C30" s="42" t="str">
        <x:v>Direct cost × scope × quantity, plus contingency</x:v>
      </x:c>
      <x:c r="D30" s="3"/>
      <x:c r="E30" s="3"/>
    </x:row>
    <x:row r="31">
      <x:c r="A31" s="44" t="str">
        <x:v>Quote before tax</x:v>
      </x:c>
      <x:c r="B31" s="51" t="str">
        <x:f>IF(OR(B30="n.a.",B25&lt;=0,B25&gt;=1),"n.a.",B30/(1-B25))</x:f>
        <x:v>n.a.</x:v>
      </x:c>
      <x:c r="C31" s="44" t="str">
        <x:v>Cost ÷ (1 − target gross margin)</x:v>
      </x:c>
      <x:c r="D31" s="3"/>
      <x:c r="E31" s="3"/>
    </x:row>
    <x:row r="32">
      <x:c r="A32" s="44" t="str">
        <x:v>Tax amount</x:v>
      </x:c>
      <x:c r="B32" s="51" t="str">
        <x:f>IF(B31="n.a.","n.a.",B31*B27)</x:f>
        <x:v>n.a.</x:v>
      </x:c>
      <x:c r="C32" s="44" t="str">
        <x:v>Quote before tax × applicable tax rate</x:v>
      </x:c>
      <x:c r="D32" s="3"/>
      <x:c r="E32" s="3"/>
    </x:row>
    <x:row r="33">
      <x:c r="A33" s="44" t="str">
        <x:v>Customer quote</x:v>
      </x:c>
      <x:c r="B33" s="51" t="str">
        <x:f>IF(B31="n.a.","n.a.",B31+B32)</x:f>
        <x:v>n.a.</x:v>
      </x:c>
      <x:c r="C33" s="44" t="str">
        <x:v>Quote before tax + tax amount</x:v>
      </x:c>
      <x:c r="D33" s="3"/>
      <x:c r="E33" s="3"/>
    </x:row>
    <x:row r="34">
      <x:c r="A34" s="44" t="str">
        <x:v>Gross profit before tax</x:v>
      </x:c>
      <x:c r="B34" s="51" t="str">
        <x:f>IF(B31="n.a.","n.a.",B31-B30)</x:f>
        <x:v>n.a.</x:v>
      </x:c>
      <x:c r="C34" s="44" t="str">
        <x:v>Quote before tax − cost before margin</x:v>
      </x:c>
      <x:c r="D34" s="3"/>
      <x:c r="E34" s="3"/>
    </x:row>
    <x:row r="35">
      <x:c r="A35" s="44" t="str">
        <x:v>Customer quote per building</x:v>
      </x:c>
      <x:c r="B35" s="51" t="str">
        <x:f>IF(OR(B33="n.a.",B14&lt;=0),"n.a.",B33/B14)</x:f>
        <x:v>n.a.</x:v>
      </x:c>
      <x:c r="C35" s="44" t="str">
        <x:v>Customer quote ÷ number of buildings</x:v>
      </x:c>
      <x:c r="D35" s="3"/>
      <x:c r="E35" s="3"/>
    </x:row>
    <x:row r="36">
      <x:c r="A36" s="3"/>
      <x:c r="B36" s="3"/>
      <x:c r="C36" s="3"/>
      <x:c r="D36" s="3"/>
      <x:c r="E36" s="3"/>
    </x:row>
    <x:row r="37" ht="36" customHeight="1">
      <x:c r="A37" s="63" t="str">
        <x:v>Before use: verify aviation, technical, privacy, insurance, site-control, tax, and contract requirements. A completed calculation does not authorize a pilot.</x:v>
      </x:c>
      <x:c r="B37" s="64"/>
      <x:c r="C37" s="64"/>
      <x:c r="D37" s="64"/>
      <x:c r="E37" s="65"/>
    </x:row>
  </x:sheetData>
  <x:mergeCells>
    <x:mergeCell ref="A1:E1"/>
    <x:mergeCell ref="A2:E2"/>
    <x:mergeCell ref="A37:E37"/>
  </x:mergeCells>
  <x:conditionalFormatting sqref="B4:B4">
    <x:cfRule type="containsText" dxfId="0" priority="1" operator="containsText" text="Missing"/>
    <x:cfRule type="containsText" dxfId="1" priority="2" operator="containsText" text="Ready"/>
  </x:conditionalFormatting>
  <x:pageMargins left="0.7" right="0.7" top="0.75" bottom="0.75" header="0.3" footer="0.3"/>
</x:worksheet>
</file>